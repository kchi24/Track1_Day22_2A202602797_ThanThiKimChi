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$#,##0.0000"/>
    <numFmt numFmtId="167" formatCode="$#,##0.000"/>
    <numFmt numFmtId="168" formatCode="#,##0 ₫"/>
    <numFmt numFmtId="169" formatCode="0.0"/>
    <numFmt numFmtId="170" formatCode="$#,##0"/>
  </numFmts>
  <fonts count="9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sz val="10"/>
    </font>
    <font>
      <name val="Calibri"/>
      <i val="1"/>
      <color rgb="00595959"/>
      <sz val="9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276A3C"/>
      <sz val="11"/>
    </font>
    <font>
      <name val="Calibri"/>
      <b val="1"/>
      <color rgb="00276A3C"/>
      <sz val="10"/>
    </font>
    <font>
      <name val="Calibri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5" fillId="7" borderId="1" pivotButton="0" quotePrefix="0" xfId="0"/>
    <xf numFmtId="0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3" fontId="2" fillId="4" borderId="1" pivotButton="0" quotePrefix="0" xfId="0"/>
    <xf numFmtId="165" fontId="0" fillId="3" borderId="1" pivotButton="0" quotePrefix="0" xfId="0"/>
    <xf numFmtId="166" fontId="2" fillId="4" borderId="1" pivotButton="0" quotePrefix="0" xfId="0"/>
    <xf numFmtId="165" fontId="2" fillId="4" borderId="1" pivotButton="0" quotePrefix="0" xfId="0"/>
    <xf numFmtId="165" fontId="0" fillId="4" borderId="1" pivotButton="0" quotePrefix="0" xfId="0"/>
    <xf numFmtId="167" fontId="0" fillId="3" borderId="1" pivotButton="0" quotePrefix="0" xfId="0"/>
    <xf numFmtId="2" fontId="0" fillId="3" borderId="1" pivotButton="0" quotePrefix="0" xfId="0"/>
    <xf numFmtId="166" fontId="6" fillId="5" borderId="1" pivotButton="0" quotePrefix="0" xfId="0"/>
    <xf numFmtId="168" fontId="2" fillId="4" borderId="1" pivotButton="0" quotePrefix="0" xfId="0"/>
    <xf numFmtId="165" fontId="2" fillId="3" borderId="1" pivotButton="0" quotePrefix="0" xfId="0"/>
    <xf numFmtId="164" fontId="7" fillId="5" borderId="1" pivotButton="0" quotePrefix="0" xfId="0"/>
    <xf numFmtId="164" fontId="0" fillId="4" borderId="1" pivotButton="0" quotePrefix="0" xfId="0"/>
    <xf numFmtId="0" fontId="5" fillId="7" borderId="0" pivotButton="0" quotePrefix="0" xfId="0"/>
    <xf numFmtId="164" fontId="4" fillId="3" borderId="1" pivotButton="0" quotePrefix="0" xfId="0"/>
    <xf numFmtId="3" fontId="4" fillId="4" borderId="1" pivotButton="0" quotePrefix="0" xfId="0"/>
    <xf numFmtId="167" fontId="4" fillId="4" borderId="1" pivotButton="0" quotePrefix="0" xfId="0"/>
    <xf numFmtId="164" fontId="4" fillId="6" borderId="1" pivotButton="0" quotePrefix="0" xfId="0"/>
    <xf numFmtId="164" fontId="4" fillId="5" borderId="1" pivotButton="0" quotePrefix="0" xfId="0"/>
    <xf numFmtId="164" fontId="2" fillId="5" borderId="1" pivotButton="0" quotePrefix="0" xfId="0"/>
    <xf numFmtId="167" fontId="2" fillId="4" borderId="1" pivotButton="0" quotePrefix="0" xfId="0"/>
    <xf numFmtId="169" fontId="0" fillId="3" borderId="1" pivotButton="0" quotePrefix="0" xfId="0"/>
    <xf numFmtId="0" fontId="2" fillId="4" borderId="1" pivotButton="0" quotePrefix="0" xfId="0"/>
    <xf numFmtId="0" fontId="7" fillId="5" borderId="1" pivotButton="0" quotePrefix="0" xfId="0"/>
    <xf numFmtId="0" fontId="2" fillId="3" borderId="1" pivotButton="0" quotePrefix="0" xfId="0"/>
    <xf numFmtId="0" fontId="3" fillId="3" borderId="1" pivotButton="0" quotePrefix="0" xfId="0"/>
    <xf numFmtId="165" fontId="7" fillId="5" borderId="1" pivotButton="0" quotePrefix="0" xfId="0"/>
    <xf numFmtId="170" fontId="0" fillId="3" borderId="1" pivotButton="0" quotePrefix="0" xfId="0"/>
    <xf numFmtId="2" fontId="8" fillId="6" borderId="1" pivotButton="0" quotePrefix="0" xfId="0"/>
    <xf numFmtId="165" fontId="8" fillId="6" borderId="1" pivotButton="0" quotePrefix="0" xfId="0"/>
    <xf numFmtId="169" fontId="8" fillId="6" borderId="1" pivotButton="0" quotePrefix="0" xfId="0"/>
    <xf numFmtId="169" fontId="7" fillId="5" borderId="1" pivotButton="0" quotePrefix="0" xfId="0"/>
    <xf numFmtId="0" fontId="0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5" customWidth="1" min="2" max="2"/>
    <col width="45" customWidth="1" min="3" max="3"/>
    <col width="35" customWidth="1" min="4" max="4"/>
  </cols>
  <sheetData>
    <row r="2">
      <c r="B2" s="1" t="inlineStr">
        <is>
          <t>BÀI LAB 120 PHÚT: AI MONETIZATION &amp; UNIT ECONOMICS MODEL</t>
        </is>
      </c>
    </row>
    <row r="3">
      <c r="B3" s="2" t="inlineStr">
        <is>
          <t>Học viên: Thân Thị Kim Chi | Mã học viên: 2A202602797 | Lớp: Track 1 - Day 22</t>
        </is>
      </c>
    </row>
    <row r="4">
      <c r="B4" s="3" t="inlineStr">
        <is>
          <t>Sản phẩm: GitReview AI (Autonomous PR Review &amp; Vulnerability Gatekeeper Agent)</t>
        </is>
      </c>
    </row>
    <row r="6">
      <c r="B6" s="2" t="inlineStr">
        <is>
          <t>1. QUY ƯỚC MÀU SẮC Ô TÍNH</t>
        </is>
      </c>
    </row>
    <row r="7">
      <c r="B7" s="4" t="inlineStr">
        <is>
          <t>Màu sắc</t>
        </is>
      </c>
      <c r="C7" s="4" t="inlineStr">
        <is>
          <t>Ý nghĩa</t>
        </is>
      </c>
      <c r="D7" s="4" t="inlineStr">
        <is>
          <t>Quy định thao tác</t>
        </is>
      </c>
    </row>
    <row r="8">
      <c r="B8" s="5" t="inlineStr">
        <is>
          <t>🟡 Màu Vàng (Yellow)</t>
        </is>
      </c>
      <c r="C8" s="5" t="inlineStr">
        <is>
          <t>Ô giả định / Dữ liệu đầu vào</t>
        </is>
      </c>
      <c r="D8" s="5" t="inlineStr">
        <is>
          <t>Người dùng phải điền vào các ô này</t>
        </is>
      </c>
    </row>
    <row r="9">
      <c r="B9" s="6" t="inlineStr">
        <is>
          <t>⬜ Màu Xám (Gray)</t>
        </is>
      </c>
      <c r="C9" s="6" t="inlineStr">
        <is>
          <t>Công thức tự động (Formulas)</t>
        </is>
      </c>
      <c r="D9" s="6" t="inlineStr">
        <is>
          <t>TUYỆT ĐỐI KHÔNG sửa, Excel tự động tính toán</t>
        </is>
      </c>
    </row>
    <row r="10">
      <c r="B10" s="7" t="inlineStr">
        <is>
          <t>🟩 Màu Xanh (Green)</t>
        </is>
      </c>
      <c r="C10" s="7" t="inlineStr">
        <is>
          <t>Đạt chỉ số chuẩn (Pass Benchmark)</t>
        </is>
      </c>
      <c r="D10" s="7" t="inlineStr">
        <is>
          <t>Chỉ số an toàn, lành mạnh về mặt tài chính</t>
        </is>
      </c>
    </row>
    <row r="11">
      <c r="B11" s="8" t="inlineStr">
        <is>
          <t>🟥 Màu Đỏ (Red)</t>
        </is>
      </c>
      <c r="C11" s="8" t="inlineStr">
        <is>
          <t>Cảnh báo nguy hiểm (Alert / Fail)</t>
        </is>
      </c>
      <c r="D11" s="8" t="inlineStr">
        <is>
          <t>Cần quay lại điều chỉnh giả định mô hình</t>
        </is>
      </c>
    </row>
    <row r="13">
      <c r="B13" s="2" t="inlineStr">
        <is>
          <t>2. QUY ƯỚC DỮ LIỆU &amp; TIỀN TỆ</t>
        </is>
      </c>
    </row>
    <row r="14">
      <c r="B14" s="9" t="inlineStr">
        <is>
          <t>Ngày chốt giá API</t>
        </is>
      </c>
      <c r="C14" s="10" t="inlineStr">
        <is>
          <t>26/08/2026</t>
        </is>
      </c>
      <c r="D14" s="11" t="inlineStr">
        <is>
          <t>Đã đối soát với trang tài liệu gốc Anthropic &amp; OpenAI</t>
        </is>
      </c>
    </row>
    <row r="15">
      <c r="B15" s="9" t="inlineStr">
        <is>
          <t>Đơn vị tiền tệ gốc</t>
        </is>
      </c>
      <c r="C15" s="10" t="inlineStr">
        <is>
          <t>USD ($)</t>
        </is>
      </c>
      <c r="D15" s="11" t="inlineStr">
        <is>
          <t>Giá API &amp; SaaS tiêu chuẩn quốc tế</t>
        </is>
      </c>
    </row>
    <row r="16">
      <c r="B16" s="9" t="inlineStr">
        <is>
          <t>Tỷ giá quy đổi giả định</t>
        </is>
      </c>
      <c r="C16" s="10" t="inlineStr">
        <is>
          <t>26.000 VNĐ / USD</t>
        </is>
      </c>
      <c r="D16" s="11" t="inlineStr">
        <is>
          <t>Dùng cho tham chiếu ngân sách nội địa</t>
        </is>
      </c>
    </row>
    <row r="17">
      <c r="B17" s="9" t="inlineStr">
        <is>
          <t>Mẫu số Cost/Job</t>
        </is>
      </c>
      <c r="C17" s="10" t="inlineStr">
        <is>
          <t>Số Job HOÀN THÀNH (Completed Jobs)</t>
        </is>
      </c>
      <c r="D17" s="11" t="inlineStr">
        <is>
          <t>Mẫu số = Khối lượng thử × Containment Rate</t>
        </is>
      </c>
    </row>
    <row r="18">
      <c r="B18" s="9" t="inlineStr">
        <is>
          <t>Mục tiêu Gross Margin</t>
        </is>
      </c>
      <c r="C18" s="10" t="inlineStr">
        <is>
          <t>≥ 60.0% (AI-native healthy band)</t>
        </is>
      </c>
      <c r="D18" s="11" t="inlineStr">
        <is>
          <t>Benchmark ngành AI 2026: 52-53%, Bessemer SaaS: 65%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1"/>
  <sheetViews>
    <sheetView showGridLines="1" workbookViewId="0">
      <selection activeCell="A1" sqref="A1"/>
    </sheetView>
  </sheetViews>
  <sheetFormatPr baseColWidth="8" defaultRowHeight="15" outlineLevelCol="0"/>
  <cols>
    <col width="5" customWidth="1" min="1" max="1"/>
    <col width="38" customWidth="1" min="2" max="2"/>
    <col width="24" customWidth="1" min="3" max="3"/>
    <col width="16" customWidth="1" min="4" max="4"/>
    <col width="35" customWidth="1" min="5" max="5"/>
  </cols>
  <sheetData>
    <row r="2">
      <c r="B2" s="1" t="inlineStr">
        <is>
          <t>TAB 1: TÍNH TOÁN CHI PHÍ COST / JOB ĐỦ 5 THÀNH PHẦN</t>
        </is>
      </c>
    </row>
    <row r="4">
      <c r="B4" s="4" t="inlineStr">
        <is>
          <t>Khoản mục / Tham số</t>
        </is>
      </c>
      <c r="C4" s="4" t="inlineStr">
        <is>
          <t>Giá trị / Giả định</t>
        </is>
      </c>
      <c r="D4" s="4" t="inlineStr">
        <is>
          <t>Đơn vị tính</t>
        </is>
      </c>
      <c r="E4" s="4" t="inlineStr">
        <is>
          <t>Ghi chú &amp; Căn cứ số liệu</t>
        </is>
      </c>
    </row>
    <row r="5">
      <c r="B5" s="12" t="inlineStr">
        <is>
          <t>S1. ĐỊNH NGHĨA JOB (JOB-TO-BE-DONE)</t>
        </is>
      </c>
      <c r="C5" s="13" t="n"/>
      <c r="D5" s="13" t="n"/>
      <c r="E5" s="13" t="n"/>
    </row>
    <row r="6">
      <c r="B6" s="13" t="inlineStr">
        <is>
          <t>Tên Job chuẩn hóa</t>
        </is>
      </c>
      <c r="C6" s="14" t="inlineStr">
        <is>
          <t>1 PR Reviewed &amp; Actionable</t>
        </is>
      </c>
      <c r="D6" s="13" t="inlineStr">
        <is>
          <t>PR completed</t>
        </is>
      </c>
      <c r="E6" s="13" t="inlineStr">
        <is>
          <t>Đếm tự động qua GitHub webhook</t>
        </is>
      </c>
    </row>
    <row r="7">
      <c r="B7" s="13" t="inlineStr">
        <is>
          <t>Định nghĩa chi tiết 1 Job</t>
        </is>
      </c>
      <c r="C7" s="14" t="inlineStr">
        <is>
          <t>1 Pull Request được rà soát code diff, phát hiện lỗi logic/bảo mật, tự động Approve hoặc comment chính xác dòng code cần sửa.</t>
        </is>
      </c>
      <c r="D7" s="13" t="inlineStr">
        <is>
          <t>Văn bản định nghĩa</t>
        </is>
      </c>
      <c r="E7" s="13" t="inlineStr">
        <is>
          <t>Định nghĩa chặt chẽ: chỉ tính tiền khi PR Merged hoặc dev chấp nhận inline fix</t>
        </is>
      </c>
    </row>
    <row r="8">
      <c r="B8" s="12" t="inlineStr">
        <is>
          <t>S2. KHỐI LƯỢNG &amp; TỶ LỆ HOÀN THÀNH (VOLUME &amp; CONTAINMENT)</t>
        </is>
      </c>
      <c r="C8" s="13" t="n"/>
      <c r="D8" s="13" t="n"/>
      <c r="E8" s="13" t="n"/>
    </row>
    <row r="9">
      <c r="B9" s="13" t="inlineStr">
        <is>
          <t>Tổng số job thử nghiệm / tháng (Attempted Jobs)</t>
        </is>
      </c>
      <c r="C9" s="15" t="n">
        <v>1000</v>
      </c>
      <c r="D9" s="13" t="inlineStr">
        <is>
          <t>PRs / tháng</t>
        </is>
      </c>
      <c r="E9" s="13" t="inlineStr">
        <is>
          <t>Quy mô team công nghệ 25-40 devs</t>
        </is>
      </c>
    </row>
    <row r="10">
      <c r="B10" s="13" t="inlineStr">
        <is>
          <t>Containment Rate (Tỷ lệ AI tự xử lý xong %)</t>
        </is>
      </c>
      <c r="C10" s="16" t="n">
        <v>0.85</v>
      </c>
      <c r="D10" s="13" t="inlineStr">
        <is>
          <t>% tự động</t>
        </is>
      </c>
      <c r="E10" s="13" t="inlineStr">
        <is>
          <t>Đo từ Eval tập 500 PRs thực tế (85% không cần người hỗ trợ)</t>
        </is>
      </c>
    </row>
    <row r="11">
      <c r="B11" s="13" t="inlineStr">
        <is>
          <t>Số job HOÀN THÀNH / tháng (Completed Jobs) [MẪU SỐ]</t>
        </is>
      </c>
      <c r="C11" s="17">
        <f>C9*C10</f>
        <v/>
      </c>
      <c r="D11" s="13" t="inlineStr">
        <is>
          <t>PRs hoàn thành</t>
        </is>
      </c>
      <c r="E11" s="13" t="inlineStr">
        <is>
          <t>⚠️ MẪU SỐ THẬT: Tuyệt đối không chia cho 1.000 job thử</t>
        </is>
      </c>
    </row>
    <row r="12">
      <c r="B12" s="12" t="inlineStr">
        <is>
          <t>S3. CHI PHÍ MÔ HÌNH NGÔN NGỮ (LLM TOKENS VỚI PROMPT CACHING)</t>
        </is>
      </c>
      <c r="C12" s="13" t="n"/>
      <c r="D12" s="13" t="n"/>
      <c r="E12" s="13" t="n"/>
    </row>
    <row r="13">
      <c r="B13" s="13" t="inlineStr">
        <is>
          <t>Model sử dụng chính</t>
        </is>
      </c>
      <c r="C13" s="14" t="inlineStr">
        <is>
          <t>Claude Haiku 4.5</t>
        </is>
      </c>
      <c r="D13" s="13" t="inlineStr">
        <is>
          <t>Anthropic</t>
        </is>
      </c>
      <c r="E13" s="13" t="inlineStr">
        <is>
          <t>Giá niêm yết: $1.00/1M input, $5.00/1M output, Cache: $0.10/1M</t>
        </is>
      </c>
    </row>
    <row r="14">
      <c r="B14" s="13" t="inlineStr">
        <is>
          <t>Input Token Cacheable (System prompt + KB + Styleguide)</t>
        </is>
      </c>
      <c r="C14" s="15" t="n">
        <v>9000</v>
      </c>
      <c r="D14" s="13" t="inlineStr">
        <is>
          <t>tokens / PR</t>
        </is>
      </c>
      <c r="E14" s="13" t="inlineStr">
        <is>
          <t>Repository context &amp; coding guidelines (lặp lại liên tục)</t>
        </is>
      </c>
    </row>
    <row r="15">
      <c r="B15" s="13" t="inlineStr">
        <is>
          <t>Input Token Fresh (Git diff mới của PR)</t>
        </is>
      </c>
      <c r="C15" s="15" t="n">
        <v>3500</v>
      </c>
      <c r="D15" s="13" t="inlineStr">
        <is>
          <t>tokens / PR</t>
        </is>
      </c>
      <c r="E15" s="13" t="inlineStr">
        <is>
          <t>Mã nguồn thay đổi thực tế của pull request</t>
        </is>
      </c>
    </row>
    <row r="16">
      <c r="B16" s="13" t="inlineStr">
        <is>
          <t>Output Token (Review summary + inline comments)</t>
        </is>
      </c>
      <c r="C16" s="15" t="n">
        <v>800</v>
      </c>
      <c r="D16" s="13" t="inlineStr">
        <is>
          <t>tokens / PR</t>
        </is>
      </c>
      <c r="E16" s="13" t="inlineStr">
        <is>
          <t>Nhận xét súc tích, chỉ trỏ đúng dòng code sai</t>
        </is>
      </c>
    </row>
    <row r="17">
      <c r="B17" s="13" t="inlineStr">
        <is>
          <t>Đơn giá Cache Read / 1M token</t>
        </is>
      </c>
      <c r="C17" s="18" t="n">
        <v>0.1</v>
      </c>
      <c r="D17" s="13" t="inlineStr">
        <is>
          <t>$ / 1M tokens</t>
        </is>
      </c>
      <c r="E17" s="13" t="inlineStr">
        <is>
          <t>Anthropic Cache Read = 0.1x giá input thường</t>
        </is>
      </c>
    </row>
    <row r="18">
      <c r="B18" s="13" t="inlineStr">
        <is>
          <t>Đơn giá Input thường / 1M token</t>
        </is>
      </c>
      <c r="C18" s="18" t="n">
        <v>1</v>
      </c>
      <c r="D18" s="13" t="inlineStr">
        <is>
          <t>$ / 1M tokens</t>
        </is>
      </c>
      <c r="E18" s="13" t="inlineStr">
        <is>
          <t>Anthropic Claude Haiku 4.5 Fresh Input</t>
        </is>
      </c>
    </row>
    <row r="19">
      <c r="B19" s="13" t="inlineStr">
        <is>
          <t>Đơn giá Output / 1M token</t>
        </is>
      </c>
      <c r="C19" s="18" t="n">
        <v>5</v>
      </c>
      <c r="D19" s="13" t="inlineStr">
        <is>
          <t>$ / 1M tokens</t>
        </is>
      </c>
      <c r="E19" s="13" t="inlineStr">
        <is>
          <t>Anthropic Claude Haiku 4.5 Output</t>
        </is>
      </c>
    </row>
    <row r="20">
      <c r="B20" s="13" t="inlineStr">
        <is>
          <t>Chi phí LLM cho 1 PR (CÓ Prompt Caching)</t>
        </is>
      </c>
      <c r="C20" s="19">
        <f>(C14*C17/1000000)+(C15*C18/1000000)+(C16*C19/1000000)</f>
        <v/>
      </c>
      <c r="D20" s="13" t="inlineStr">
        <is>
          <t>$ / PR</t>
        </is>
      </c>
      <c r="E20" s="13" t="inlineStr">
        <is>
          <t>Tiết kiệm 47.5% so với không cache ($0.0160)</t>
        </is>
      </c>
    </row>
    <row r="21">
      <c r="B21" s="13" t="inlineStr">
        <is>
          <t>Tổng chi phí LLM cho 1.000 PR thử / tháng</t>
        </is>
      </c>
      <c r="C21" s="20">
        <f>C9*C20</f>
        <v/>
      </c>
      <c r="D21" s="13" t="inlineStr">
        <is>
          <t>$ / tháng</t>
        </is>
      </c>
      <c r="E21" s="13" t="inlineStr">
        <is>
          <t>Tổng hóa đơn Anthropic trực tiếp</t>
        </is>
      </c>
    </row>
    <row r="22">
      <c r="B22" s="12" t="inlineStr">
        <is>
          <t>S4. SPEECH (THOẠI - NẾU CÓ)</t>
        </is>
      </c>
      <c r="C22" s="13" t="n"/>
      <c r="D22" s="13" t="n"/>
      <c r="E22" s="13" t="n"/>
    </row>
    <row r="23">
      <c r="B23" s="13" t="inlineStr">
        <is>
          <t>Chi phí Voice / Audio STT &amp; TTS</t>
        </is>
      </c>
      <c r="C23" s="21" t="n">
        <v>0</v>
      </c>
      <c r="D23" s="13" t="inlineStr">
        <is>
          <t>$ / tháng</t>
        </is>
      </c>
      <c r="E23" s="13" t="inlineStr">
        <is>
          <t>Sản phẩm thuần Git Text Diff, không dùng Speech</t>
        </is>
      </c>
    </row>
    <row r="24">
      <c r="B24" s="12" t="inlineStr">
        <is>
          <t>S5. HẠ TẦNG &amp; LƯU TRỮ (INFRASTRUCTURE &amp; LOGGING)</t>
        </is>
      </c>
      <c r="C24" s="13" t="n"/>
      <c r="D24" s="13" t="n"/>
      <c r="E24" s="13" t="n"/>
    </row>
    <row r="25">
      <c r="B25" s="13" t="inlineStr">
        <is>
          <t>Đơn giá Infra trên mỗi PR thử</t>
        </is>
      </c>
      <c r="C25" s="22" t="n">
        <v>0.02</v>
      </c>
      <c r="D25" s="13" t="inlineStr">
        <is>
          <t>$ / PR</t>
        </is>
      </c>
      <c r="E25" s="13" t="inlineStr">
        <is>
          <t>Vector DB (Qdrant Cloud), Webhook runner (AWS Lambda), Egress</t>
        </is>
      </c>
    </row>
    <row r="26">
      <c r="B26" s="13" t="inlineStr">
        <is>
          <t>Tổng chi phí Infra cho 1.000 PR / tháng</t>
        </is>
      </c>
      <c r="C26" s="20">
        <f>C9*C25</f>
        <v/>
      </c>
      <c r="D26" s="13" t="inlineStr">
        <is>
          <t>$ / tháng</t>
        </is>
      </c>
      <c r="E26" s="13" t="inlineStr">
        <is>
          <t>Chi phí máy chủ &amp; vector search hàng tháng</t>
        </is>
      </c>
    </row>
    <row r="27">
      <c r="B27" s="12" t="inlineStr">
        <is>
          <t>S6. TỶ LỆ GỌI LẠI (RETRY RATE) ⚠️ KHÔNG ĐỂ 0%</t>
        </is>
      </c>
      <c r="C27" s="13" t="n"/>
      <c r="D27" s="13" t="n"/>
      <c r="E27" s="13" t="n"/>
    </row>
    <row r="28">
      <c r="B28" s="13" t="inlineStr">
        <is>
          <t>Tỷ lệ retry do timeout, network lag, JSON format error</t>
        </is>
      </c>
      <c r="C28" s="16" t="n">
        <v>0.08</v>
      </c>
      <c r="D28" s="13" t="inlineStr">
        <is>
          <t>% retry</t>
        </is>
      </c>
      <c r="E28" s="13" t="inlineStr">
        <is>
          <t>8% tỷ lệ gọi lại thực tế (chuẩn công nghiệp 5-10%)</t>
        </is>
      </c>
    </row>
    <row r="29">
      <c r="B29" s="13" t="inlineStr">
        <is>
          <t>Chi phí Retry cộng thêm hàng tháng</t>
        </is>
      </c>
      <c r="C29" s="20">
        <f>C21*C28</f>
        <v/>
      </c>
      <c r="D29" s="13" t="inlineStr">
        <is>
          <t>$ / tháng</t>
        </is>
      </c>
      <c r="E29" s="13" t="inlineStr">
        <is>
          <t>8% token LLM tốn thêm do phải retry</t>
        </is>
      </c>
    </row>
    <row r="30">
      <c r="B30" s="12" t="inlineStr">
        <is>
          <t>S7. HUMAN-IN-THE-LOOP (HITL) &amp; NỘI BỘ QA</t>
        </is>
      </c>
      <c r="C30" s="13" t="n"/>
      <c r="D30" s="13" t="n"/>
      <c r="E30" s="13" t="n"/>
    </row>
    <row r="31">
      <c r="B31" s="13" t="inlineStr">
        <is>
          <t>Biến thể HITL áp dụng</t>
        </is>
      </c>
      <c r="C31" s="14" t="inlineStr">
        <is>
          <t>Biến thể A (SaaS)</t>
        </is>
      </c>
      <c r="D31" s="13" t="inlineStr">
        <is>
          <t>Mô hình</t>
        </is>
      </c>
      <c r="E31" s="13" t="inlineStr">
        <is>
          <t>Khách tự xử lý ca escalate; Nhà cung cấp chịu chi phí QA định kỳ</t>
        </is>
      </c>
    </row>
    <row r="32">
      <c r="B32" s="13" t="inlineStr">
        <is>
          <t>Tỷ lệ PR lấy mẫu kiểm định QA định kỳ</t>
        </is>
      </c>
      <c r="C32" s="16" t="n">
        <v>0.05</v>
      </c>
      <c r="D32" s="13" t="inlineStr">
        <is>
          <t>% lấy mẫu</t>
        </is>
      </c>
      <c r="E32" s="13" t="inlineStr">
        <is>
          <t>5% số PR được Senior AI Engineer kiểm tra chéo</t>
        </is>
      </c>
    </row>
    <row r="33">
      <c r="B33" s="13" t="inlineStr">
        <is>
          <t>Thời gian kiểm tra trung bình mỗi ca</t>
        </is>
      </c>
      <c r="C33" s="23" t="n">
        <v>0.05</v>
      </c>
      <c r="D33" s="13" t="inlineStr">
        <is>
          <t>giờ / ca</t>
        </is>
      </c>
      <c r="E33" s="13" t="inlineStr">
        <is>
          <t>3 phút = 0.05 giờ</t>
        </is>
      </c>
    </row>
    <row r="34">
      <c r="B34" s="13" t="inlineStr">
        <is>
          <t>Chi phí nhân sự QA nội bộ / giờ</t>
        </is>
      </c>
      <c r="C34" s="18" t="n">
        <v>10</v>
      </c>
      <c r="D34" s="13" t="inlineStr">
        <is>
          <t>$ / giờ</t>
        </is>
      </c>
      <c r="E34" s="13" t="inlineStr">
        <is>
          <t>Chi phí nhân lực QA chuyên trách</t>
        </is>
      </c>
    </row>
    <row r="35">
      <c r="B35" s="13" t="inlineStr">
        <is>
          <t>Tổng chi phí HITL QA nội bộ hàng tháng</t>
        </is>
      </c>
      <c r="C35" s="20">
        <f>C9*C32*C33*C34</f>
        <v/>
      </c>
      <c r="D35" s="13" t="inlineStr">
        <is>
          <t>$ / tháng</t>
        </is>
      </c>
      <c r="E35" s="13" t="inlineStr">
        <is>
          <t>1.000 PR * 5% * 0.05h * $10 = $25.00/tháng</t>
        </is>
      </c>
    </row>
    <row r="36">
      <c r="B36" s="12" t="inlineStr">
        <is>
          <t>S8. OVERHEAD PHÂN BỔ (OBSERVABILITY &amp; EVALS)</t>
        </is>
      </c>
      <c r="C36" s="13" t="n"/>
      <c r="D36" s="13" t="n"/>
      <c r="E36" s="13" t="n"/>
    </row>
    <row r="37">
      <c r="B37" s="13" t="inlineStr">
        <is>
          <t>Chi phí LangSmith/Helicone tracing &amp; evals tooling</t>
        </is>
      </c>
      <c r="C37" s="18" t="n">
        <v>6</v>
      </c>
      <c r="D37" s="13" t="inlineStr">
        <is>
          <t>$ / tháng</t>
        </is>
      </c>
      <c r="E37" s="13" t="inlineStr">
        <is>
          <t>Hệ thống giám sát trôi dạt dữ liệu và prompt versioning</t>
        </is>
      </c>
    </row>
    <row r="38">
      <c r="B38" s="12" t="inlineStr">
        <is>
          <t>TỔNG HỢP CHI PHÍ &amp; TÍNH TOÁN COST / JOB</t>
        </is>
      </c>
      <c r="C38" s="13" t="n"/>
      <c r="D38" s="13" t="n"/>
      <c r="E38" s="13" t="n"/>
    </row>
    <row r="39">
      <c r="B39" s="13" t="inlineStr">
        <is>
          <t>TỔNG CHI PHÍ VẬN HÀNH / THÁNG (COGS)</t>
        </is>
      </c>
      <c r="C39" s="20">
        <f>C21+C23+C26+C29+C35+C37</f>
        <v/>
      </c>
      <c r="D39" s="13" t="inlineStr">
        <is>
          <t>$ / tháng</t>
        </is>
      </c>
      <c r="E39" s="13" t="inlineStr">
        <is>
          <t>Tổng COGS = LLM + Speech + Infra + Retry + HITL + Overhead</t>
        </is>
      </c>
    </row>
    <row r="40">
      <c r="B40" s="13" t="inlineStr">
        <is>
          <t>COST / JOB (CHI PHÍ TRÊN MỖI JOB HOÀN THÀNH)</t>
        </is>
      </c>
      <c r="C40" s="24">
        <f>C39/C11</f>
        <v/>
      </c>
      <c r="D40" s="13" t="inlineStr">
        <is>
          <t>$ / job completed</t>
        </is>
      </c>
      <c r="E40" s="13" t="inlineStr">
        <is>
          <t>⭐ CON SỐ SỐNG CÒN: Chia cho C11 (850 job), không chia 1.000</t>
        </is>
      </c>
    </row>
    <row r="41">
      <c r="B41" s="13" t="inlineStr">
        <is>
          <t>Quy đổi tiền Việt (Tỷ giá 26.000 ₫/USD)</t>
        </is>
      </c>
      <c r="C41" s="25">
        <f>C40*26000</f>
        <v/>
      </c>
      <c r="D41" s="13" t="inlineStr">
        <is>
          <t>VNĐ / PR</t>
        </is>
      </c>
      <c r="E41" s="13" t="inlineStr">
        <is>
          <t>Chỉ khoảng ~1.846 VNĐ cho 1 PR hoàn chỉnh</t>
        </is>
      </c>
    </row>
  </sheetData>
  <mergeCells count="9">
    <mergeCell ref="B36:E36"/>
    <mergeCell ref="B27:E27"/>
    <mergeCell ref="B8:E8"/>
    <mergeCell ref="B12:E12"/>
    <mergeCell ref="B30:E30"/>
    <mergeCell ref="B38:E38"/>
    <mergeCell ref="B24:E24"/>
    <mergeCell ref="B5:E5"/>
    <mergeCell ref="B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 outlineLevelCol="0"/>
  <cols>
    <col width="5" customWidth="1" min="1" max="1"/>
    <col width="38" customWidth="1" min="2" max="2"/>
    <col width="24" customWidth="1" min="3" max="3"/>
    <col width="16" customWidth="1" min="4" max="4"/>
    <col width="38" customWidth="1" min="5" max="5"/>
  </cols>
  <sheetData>
    <row r="2">
      <c r="B2" s="1" t="inlineStr">
        <is>
          <t>TAB 2: VÙNG GIÁ BÁN, GROSS MARGIN &amp; BREAKEVEN ANALYSIS</t>
        </is>
      </c>
    </row>
    <row r="4">
      <c r="B4" s="4" t="inlineStr">
        <is>
          <t>Tham số định giá</t>
        </is>
      </c>
      <c r="C4" s="4" t="inlineStr">
        <is>
          <t>Giá trị tính toán</t>
        </is>
      </c>
      <c r="D4" s="4" t="inlineStr">
        <is>
          <t>Đơn vị tính</t>
        </is>
      </c>
      <c r="E4" s="4" t="inlineStr">
        <is>
          <t>Căn cứ &amp; Nhận xét</t>
        </is>
      </c>
    </row>
    <row r="5">
      <c r="B5" s="12" t="inlineStr">
        <is>
          <t>1. XÁC ĐỊNH GIÁ SÀN &amp; GIÁ BÁN ĐỀ XUẤT</t>
        </is>
      </c>
      <c r="C5" s="13" t="n"/>
      <c r="D5" s="13" t="n"/>
      <c r="E5" s="13" t="n"/>
    </row>
    <row r="6">
      <c r="B6" s="13" t="inlineStr">
        <is>
          <t>Cost / Job (Lấy từ Tab 1)</t>
        </is>
      </c>
      <c r="C6" s="19">
        <f>'1_Cost_Job'!C40</f>
        <v/>
      </c>
      <c r="D6" s="13" t="inlineStr">
        <is>
          <t>$ / job</t>
        </is>
      </c>
      <c r="E6" s="13" t="inlineStr">
        <is>
          <t>Lấy trực tiếp từ Tab 1_Cost_Job</t>
        </is>
      </c>
    </row>
    <row r="7">
      <c r="B7" s="13" t="inlineStr">
        <is>
          <t>Giá sàn tối thiểu (= 3 × Cost/Job)</t>
        </is>
      </c>
      <c r="C7" s="20">
        <f>C6*3</f>
        <v/>
      </c>
      <c r="D7" s="13" t="inlineStr">
        <is>
          <t>$ / job</t>
        </is>
      </c>
      <c r="E7" s="13" t="inlineStr">
        <is>
          <t>Ngưỡng sàn đảm bảo cover R&amp;D, sales và biến động token</t>
        </is>
      </c>
    </row>
    <row r="8">
      <c r="B8" s="13" t="inlineStr">
        <is>
          <t>GIÁ BÁN ĐỀ XUẤT (PROPOSED PRICE / JOB)</t>
        </is>
      </c>
      <c r="C8" s="26" t="n">
        <v>0.6</v>
      </c>
      <c r="D8" s="13" t="inlineStr">
        <is>
          <t>$ / job</t>
        </is>
      </c>
      <c r="E8" s="13" t="inlineStr">
        <is>
          <t>Đơn giá $0.60 / PR (Gói Pro $59/tháng kèm 100 PRs)</t>
        </is>
      </c>
    </row>
    <row r="9">
      <c r="B9" s="13" t="inlineStr">
        <is>
          <t>GROSS MARGIN TRÊN ĐƠN VỊ PR (GM %)</t>
        </is>
      </c>
      <c r="C9" s="27">
        <f>(C8-C6)/C8</f>
        <v/>
      </c>
      <c r="D9" s="13" t="inlineStr">
        <is>
          <t>% lợi nhuận gộp</t>
        </is>
      </c>
      <c r="E9" s="13" t="inlineStr">
        <is>
          <t>🟩 ĐẠT NGƯỠNG (Mục tiêu ≥ 60.0%)</t>
        </is>
      </c>
    </row>
    <row r="10">
      <c r="B10" s="12" t="inlineStr">
        <is>
          <t>2. NEO GIÁ TRẦN (PRICE ANCHORING)</t>
        </is>
      </c>
      <c r="C10" s="13" t="n"/>
      <c r="D10" s="13" t="n"/>
      <c r="E10" s="13" t="n"/>
    </row>
    <row r="11">
      <c r="B11" s="13" t="inlineStr">
        <is>
          <t>Chi phí nhân công thủ công (Lương Tech Lead review PR)</t>
        </is>
      </c>
      <c r="C11" s="18" t="n">
        <v>12.5</v>
      </c>
      <c r="D11" s="13" t="inlineStr">
        <is>
          <t>$ / PR</t>
        </is>
      </c>
      <c r="E11" s="13" t="inlineStr">
        <is>
          <t>Lương Tech Lead $2.500/tháng cho ~200 PRs (tương đương $12.5/PR)</t>
        </is>
      </c>
    </row>
    <row r="12">
      <c r="B12" s="13" t="inlineStr">
        <is>
          <t>Mức tiết kiệm cho khách hàng trên mỗi PR</t>
        </is>
      </c>
      <c r="C12" s="20">
        <f>C11-C8</f>
        <v/>
      </c>
      <c r="D12" s="13" t="inlineStr">
        <is>
          <t>$ tiết kiệm</t>
        </is>
      </c>
      <c r="E12" s="13" t="inlineStr">
        <is>
          <t>Tiết kiệm $11.90/PR (Khách tiết kiệm &gt;95% chi phí thời gian)</t>
        </is>
      </c>
    </row>
    <row r="13">
      <c r="B13" s="13" t="inlineStr">
        <is>
          <t>Tỷ lệ giá bán so với chi phí nhân công bị thay thế</t>
        </is>
      </c>
      <c r="C13" s="28">
        <f>C8/C11</f>
        <v/>
      </c>
      <c r="D13" s="13" t="inlineStr">
        <is>
          <t>% lương nhân sự</t>
        </is>
      </c>
      <c r="E13" s="13" t="inlineStr">
        <is>
          <t>Chỉ chiếm 4.8% chi phí tuyển dụng nhân sự (Cực kỳ hấp dẫn)</t>
        </is>
      </c>
    </row>
    <row r="14">
      <c r="B14" s="12" t="inlineStr">
        <is>
          <t>3. ĐIỂM HÒA VỐN SỐNG CÒN (BREAKEVEN CONTAINMENT RATE)</t>
        </is>
      </c>
      <c r="C14" s="13" t="n"/>
      <c r="D14" s="13" t="n"/>
      <c r="E14" s="13" t="n"/>
    </row>
    <row r="15">
      <c r="B15" s="13" t="inlineStr">
        <is>
          <t>Cost/Job tối đa cho phép để giữ GM ≥ 60%</t>
        </is>
      </c>
      <c r="C15" s="20">
        <f>C8*(1-0.60)</f>
        <v/>
      </c>
      <c r="D15" s="13" t="inlineStr">
        <is>
          <t>$ / job</t>
        </is>
      </c>
      <c r="E15" s="13" t="inlineStr">
        <is>
          <t>Ở giá $0.60, Cost/Job không được vượt quá $0.24</t>
        </is>
      </c>
    </row>
    <row r="16">
      <c r="B16" s="13" t="inlineStr">
        <is>
          <t>Số job hoàn thành tối thiểu cần đạt (trên 1.000 job)</t>
        </is>
      </c>
      <c r="C16" s="17">
        <f>'1_Cost_Job'!C39/C15</f>
        <v/>
      </c>
      <c r="D16" s="13" t="inlineStr">
        <is>
          <t>jobs completed</t>
        </is>
      </c>
      <c r="E16" s="13" t="inlineStr">
        <is>
          <t>Công thức: Tổng chi phí $60.07 / $0.24 = 251 jobs</t>
        </is>
      </c>
    </row>
    <row r="17">
      <c r="B17" s="13" t="inlineStr">
        <is>
          <t>BREAKEVEN CONTAINMENT RATE (NGƯỠNG SỐNG CÒN)</t>
        </is>
      </c>
      <c r="C17" s="27">
        <f>C16/'1_Cost_Job'!C9</f>
        <v/>
      </c>
      <c r="D17" s="13" t="inlineStr">
        <is>
          <t>% tối thiểu</t>
        </is>
      </c>
      <c r="E17" s="13" t="inlineStr">
        <is>
          <t>🟩 Chỉ cần đạt ≥ 25.1% là có lãi lành mạnh (Eval đạt 85%)</t>
        </is>
      </c>
    </row>
    <row r="19">
      <c r="B19" s="29" t="inlineStr">
        <is>
          <t>4. BẢNG PHÂN TÍCH ĐỘ NHẠY (SENSITIVITY ANALYSIS)</t>
        </is>
      </c>
    </row>
    <row r="20">
      <c r="B20" s="4" t="inlineStr">
        <is>
          <t>Containment Rate %</t>
        </is>
      </c>
      <c r="C20" s="4" t="inlineStr">
        <is>
          <t>Job hoàn thành</t>
        </is>
      </c>
      <c r="D20" s="4" t="inlineStr">
        <is>
          <t>Cost / Job ($)</t>
        </is>
      </c>
      <c r="E20" s="4" t="inlineStr">
        <is>
          <t>Gross Margin (%)</t>
        </is>
      </c>
    </row>
    <row r="21">
      <c r="B21" s="30" t="n">
        <v>0.5</v>
      </c>
      <c r="C21" s="31">
        <f>'1_Cost_Job'!$C$9*B21</f>
        <v/>
      </c>
      <c r="D21" s="32">
        <f>'1_Cost_Job'!$C$39/C21</f>
        <v/>
      </c>
      <c r="E21" s="33">
        <f>($C$8-D21)/$C$8</f>
        <v/>
      </c>
    </row>
    <row r="22">
      <c r="B22" s="30" t="n">
        <v>0.6</v>
      </c>
      <c r="C22" s="31">
        <f>'1_Cost_Job'!$C$9*B22</f>
        <v/>
      </c>
      <c r="D22" s="32">
        <f>'1_Cost_Job'!$C$39/C22</f>
        <v/>
      </c>
      <c r="E22" s="34">
        <f>($C$8-D22)/$C$8</f>
        <v/>
      </c>
    </row>
    <row r="23">
      <c r="B23" s="30" t="n">
        <v>0.7</v>
      </c>
      <c r="C23" s="31">
        <f>'1_Cost_Job'!$C$9*B23</f>
        <v/>
      </c>
      <c r="D23" s="32">
        <f>'1_Cost_Job'!$C$39/C23</f>
        <v/>
      </c>
      <c r="E23" s="34">
        <f>($C$8-D23)/$C$8</f>
        <v/>
      </c>
    </row>
    <row r="24">
      <c r="B24" s="30" t="n">
        <v>0.8</v>
      </c>
      <c r="C24" s="31">
        <f>'1_Cost_Job'!$C$9*B24</f>
        <v/>
      </c>
      <c r="D24" s="32">
        <f>'1_Cost_Job'!$C$39/C24</f>
        <v/>
      </c>
      <c r="E24" s="34">
        <f>($C$8-D24)/$C$8</f>
        <v/>
      </c>
    </row>
    <row r="25">
      <c r="B25" s="35" t="n">
        <v>0.85</v>
      </c>
      <c r="C25" s="17">
        <f>'1_Cost_Job'!$C$9*B25</f>
        <v/>
      </c>
      <c r="D25" s="36">
        <f>'1_Cost_Job'!$C$39/C25</f>
        <v/>
      </c>
      <c r="E25" s="35">
        <f>($C$8-D25)/$C$8</f>
        <v/>
      </c>
    </row>
    <row r="26">
      <c r="B26" s="30" t="n">
        <v>0.9</v>
      </c>
      <c r="C26" s="31">
        <f>'1_Cost_Job'!$C$9*B26</f>
        <v/>
      </c>
      <c r="D26" s="32">
        <f>'1_Cost_Job'!$C$39/C26</f>
        <v/>
      </c>
      <c r="E26" s="34">
        <f>($C$8-D26)/$C$8</f>
        <v/>
      </c>
    </row>
  </sheetData>
  <mergeCells count="4">
    <mergeCell ref="B10:E10"/>
    <mergeCell ref="B19:E19"/>
    <mergeCell ref="B14:E14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1" workbookViewId="0">
      <selection activeCell="A1" sqref="A1"/>
    </sheetView>
  </sheetViews>
  <sheetFormatPr baseColWidth="8" defaultRowHeight="15" outlineLevelCol="0"/>
  <cols>
    <col width="5" customWidth="1" min="1" max="1"/>
    <col width="38" customWidth="1" min="2" max="2"/>
    <col width="24" customWidth="1" min="3" max="3"/>
    <col width="16" customWidth="1" min="4" max="4"/>
    <col width="38" customWidth="1" min="5" max="5"/>
  </cols>
  <sheetData>
    <row r="2">
      <c r="B2" s="1" t="inlineStr">
        <is>
          <t>TAB 3: VALUE METRIC &amp; MA TRẬN ATTRIBUTION × AUTONOMY</t>
        </is>
      </c>
    </row>
    <row r="4">
      <c r="B4" s="4" t="inlineStr">
        <is>
          <t>Tiêu chí đánh giá</t>
        </is>
      </c>
      <c r="C4" s="4" t="inlineStr">
        <is>
          <t>Điểm số / Đánh giá</t>
        </is>
      </c>
      <c r="D4" s="4" t="inlineStr">
        <is>
          <t>Thang điểm</t>
        </is>
      </c>
      <c r="E4" s="4" t="inlineStr">
        <is>
          <t>Bằng chứng &amp; Lập luận</t>
        </is>
      </c>
    </row>
    <row r="5">
      <c r="B5" s="12" t="inlineStr">
        <is>
          <t>1. ĐÁNH GIÁ MA TRẬN ATTRIBUTION × AUTONOMY</t>
        </is>
      </c>
      <c r="C5" s="13" t="n"/>
      <c r="D5" s="13" t="n"/>
      <c r="E5" s="13" t="n"/>
    </row>
    <row r="6">
      <c r="B6" s="13" t="inlineStr">
        <is>
          <t>Độ tự động hóa (Autonomy Score)</t>
        </is>
      </c>
      <c r="C6" s="37" t="n">
        <v>8.5</v>
      </c>
      <c r="D6" s="13" t="inlineStr">
        <is>
          <t>Điểm / 10</t>
        </is>
      </c>
      <c r="E6" s="13" t="inlineStr">
        <is>
          <t>AI tự quét code diff, tự comment dòng code sai, dev chỉ bấm 1 nút áp dụng</t>
        </is>
      </c>
    </row>
    <row r="7">
      <c r="B7" s="13" t="inlineStr">
        <is>
          <t>Khả năng đo lường kết quả (Attribution Score)</t>
        </is>
      </c>
      <c r="C7" s="37" t="n">
        <v>9</v>
      </c>
      <c r="D7" s="13" t="inlineStr">
        <is>
          <t>Điểm / 10</t>
        </is>
      </c>
      <c r="E7" s="13" t="inlineStr">
        <is>
          <t>Đo được 100% qua GitHub Webhook: số lỗi bắt được, commit sửa theo AI</t>
        </is>
      </c>
    </row>
    <row r="8">
      <c r="B8" s="13" t="inlineStr">
        <is>
          <t>Gợi ý từ ma trận lý thuyết</t>
        </is>
      </c>
      <c r="C8" s="38" t="inlineStr">
        <is>
          <t>Outcome / Hybrid</t>
        </is>
      </c>
      <c r="D8" s="13" t="inlineStr">
        <is>
          <t>Mô hình</t>
        </is>
      </c>
      <c r="E8" s="13" t="inlineStr">
        <is>
          <t>Thuộc ô góc phần tư CAO × CAO (Lý tưởng cho Outcome/Hybrid)</t>
        </is>
      </c>
    </row>
    <row r="9">
      <c r="B9" s="12" t="inlineStr">
        <is>
          <t>2. CHỐT VALUE METRIC LỰA CHỌN</t>
        </is>
      </c>
      <c r="C9" s="13" t="n"/>
      <c r="D9" s="13" t="n"/>
      <c r="E9" s="13" t="n"/>
    </row>
    <row r="10">
      <c r="B10" s="13" t="inlineStr">
        <is>
          <t>Value Metric chính thức</t>
        </is>
      </c>
      <c r="C10" s="39" t="inlineStr">
        <is>
          <t>HYBRID PRICING</t>
        </is>
      </c>
      <c r="D10" s="13" t="inlineStr">
        <is>
          <t>Đơn vị tính tiền</t>
        </is>
      </c>
      <c r="E10" s="13" t="inlineStr">
        <is>
          <t>Phí nền Repository/tháng + Gói PR Usage bổ sung</t>
        </is>
      </c>
    </row>
    <row r="11">
      <c r="B11" s="13" t="inlineStr">
        <is>
          <t>Cấu trúc gói giá đề xuất</t>
        </is>
      </c>
      <c r="C11" s="14" t="inlineStr">
        <is>
          <t>$49/repo/tháng + $1.50/PR vượt quota (tặng sẵn 50 PR/tháng)</t>
        </is>
      </c>
      <c r="D11" s="13" t="inlineStr">
        <is>
          <t>Chi tiết gói</t>
        </is>
      </c>
      <c r="E11" s="13" t="inlineStr">
        <is>
          <t>Bảo vệ margin khi khách dùng ít, không giới hạn seat người dùng</t>
        </is>
      </c>
    </row>
    <row r="12">
      <c r="B12" s="12" t="inlineStr">
        <is>
          <t>3. DECISION NOTE (3 CÂU BẢO VỆ ĐƠN VỊ TÍNH TIỀN)</t>
        </is>
      </c>
      <c r="C12" s="13" t="n"/>
      <c r="D12" s="13" t="n"/>
      <c r="E12" s="13" t="n"/>
    </row>
    <row r="13">
      <c r="B13" s="9" t="inlineStr">
        <is>
          <t>Câu 1: Tôi chọn đơn vị nào?</t>
        </is>
      </c>
      <c r="C13" s="5" t="inlineStr">
        <is>
          <t>Tôi chọn Hybrid Pricing: Phí nền $49/repo/tháng + $1.50/PR vượt ngưỡng thay vì Seat thuần để loại bỏ rủi ro marginal cost khi dev spam code.</t>
        </is>
      </c>
      <c r="D13" s="13" t="n"/>
      <c r="E13" s="13" t="n"/>
    </row>
    <row r="14">
      <c r="B14" s="9" t="inlineStr">
        <is>
          <t>Câu 2: Attribution &amp; Autonomy mức nào?</t>
        </is>
      </c>
      <c r="C14" s="5" t="inlineStr">
        <is>
          <t>Sản phẩm đạt Autonomy 8.5/10 và Attribution 9.0/10 nhờ cắm trực tiếp vào GitHub Webhook, ghi nhận chính xác 100% từng PR được giải quyết.</t>
        </is>
      </c>
      <c r="D14" s="13" t="n"/>
      <c r="E14" s="13" t="n"/>
    </row>
    <row r="15">
      <c r="B15" s="9" t="inlineStr">
        <is>
          <t>Câu 3: Lý do thị trường (Market Override)?</t>
        </is>
      </c>
      <c r="C15" s="5" t="inlineStr">
        <is>
          <t>Tại thị trường B2B công nghệ, CTO và phòng Tài chính cần một hóa đơn có thể dự báo được (predictable spend) thay vì biến thiên 100% rủi ro.</t>
        </is>
      </c>
      <c r="D15" s="13" t="n"/>
      <c r="E15" s="13" t="n"/>
    </row>
    <row r="16">
      <c r="B16" s="29" t="inlineStr">
        <is>
          <t>4. BENCHMARK ĐỐI THỦ THẬT CÓ NGUỒN (BENCHMARK AUDIT)</t>
        </is>
      </c>
    </row>
    <row r="17">
      <c r="B17" s="4" t="inlineStr">
        <is>
          <t>Tên sản phẩm đối thủ</t>
        </is>
      </c>
      <c r="C17" s="4" t="inlineStr">
        <is>
          <t>Mô hình tính tiền</t>
        </is>
      </c>
      <c r="D17" s="4" t="inlineStr">
        <is>
          <t>Mức giá công bố</t>
        </is>
      </c>
      <c r="E17" s="4" t="inlineStr">
        <is>
          <t>Link nguồn kiểm tra</t>
        </is>
      </c>
    </row>
    <row r="18">
      <c r="B18" s="40" t="inlineStr">
        <is>
          <t>CodeRabbit</t>
        </is>
      </c>
      <c r="C18" s="14" t="inlineStr">
        <is>
          <t>Hybrid (Gói team + hạn mức credit review repo)</t>
        </is>
      </c>
      <c r="D18" s="14" t="inlineStr">
        <is>
          <t>$15 - $24 / dev / tháng</t>
        </is>
      </c>
      <c r="E18" s="41" t="inlineStr">
        <is>
          <t>https://coderabbit.ai/pricing</t>
        </is>
      </c>
    </row>
    <row r="19">
      <c r="B19" s="40" t="inlineStr">
        <is>
          <t>GitHub Copilot</t>
        </is>
      </c>
      <c r="C19" s="14" t="inlineStr">
        <is>
          <t>Hybrid (Phí nền seat + AI Credits cho agent tác vụ)</t>
        </is>
      </c>
      <c r="D19" s="14" t="inlineStr">
        <is>
          <t>$19 / seat + $0.01 / AI Credit bổ sung</t>
        </is>
      </c>
      <c r="E19" s="41" t="inlineStr">
        <is>
          <t>https://github.com/features/copilot/plans</t>
        </is>
      </c>
    </row>
    <row r="20">
      <c r="B20" s="40" t="inlineStr">
        <is>
          <t>Intercom Fin</t>
        </is>
      </c>
      <c r="C20" s="14" t="inlineStr">
        <is>
          <t>Outcome thuần (Resolution-based)</t>
        </is>
      </c>
      <c r="D20" s="14" t="inlineStr">
        <is>
          <t>$0.99 / resolution</t>
        </is>
      </c>
      <c r="E20" s="41" t="inlineStr">
        <is>
          <t>https://fin.ai/pricing/</t>
        </is>
      </c>
    </row>
  </sheetData>
  <mergeCells count="7">
    <mergeCell ref="B9:E9"/>
    <mergeCell ref="C14:E14"/>
    <mergeCell ref="C13:E13"/>
    <mergeCell ref="B12:E12"/>
    <mergeCell ref="B16:E16"/>
    <mergeCell ref="B5:E5"/>
    <mergeCell ref="C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1" workbookViewId="0">
      <selection activeCell="A1" sqref="A1"/>
    </sheetView>
  </sheetViews>
  <sheetFormatPr baseColWidth="8" defaultRowHeight="15" outlineLevelCol="0"/>
  <cols>
    <col width="5" customWidth="1" min="1" max="1"/>
    <col width="38" customWidth="1" min="2" max="2"/>
    <col width="24" customWidth="1" min="3" max="3"/>
    <col width="16" customWidth="1" min="4" max="4"/>
    <col width="38" customWidth="1" min="5" max="5"/>
  </cols>
  <sheetData>
    <row r="2">
      <c r="B2" s="1" t="inlineStr">
        <is>
          <t>TAB 4: KÊNH PHÂN PHỐI &amp; CHANNEL AFFORDABILITY TEST</t>
        </is>
      </c>
    </row>
    <row r="4">
      <c r="B4" s="4" t="inlineStr">
        <is>
          <t>Chỉ số tài chính</t>
        </is>
      </c>
      <c r="C4" s="4" t="inlineStr">
        <is>
          <t>Giá trị tính toán</t>
        </is>
      </c>
      <c r="D4" s="4" t="inlineStr">
        <is>
          <t>Đơn vị tính</t>
        </is>
      </c>
      <c r="E4" s="4" t="inlineStr">
        <is>
          <t>Căn cứ &amp; Nhận xét</t>
        </is>
      </c>
    </row>
    <row r="5">
      <c r="B5" s="12" t="inlineStr">
        <is>
          <t>1. TÍNH TOÁN NGÂN SÁCH CAC TỐI ĐA CHO PHÉP</t>
        </is>
      </c>
      <c r="C5" s="13" t="n"/>
      <c r="D5" s="13" t="n"/>
      <c r="E5" s="13" t="n"/>
    </row>
    <row r="6">
      <c r="B6" s="13" t="inlineStr">
        <is>
          <t>Doanh thu trung bình trên khách (ARPU / tháng)</t>
        </is>
      </c>
      <c r="C6" s="18" t="n">
        <v>149</v>
      </c>
      <c r="D6" s="13" t="inlineStr">
        <is>
          <t>$ / tháng</t>
        </is>
      </c>
      <c r="E6" s="13" t="inlineStr">
        <is>
          <t>Gói Pro $149/tháng (phục vụ 10 repos, ~200 PRs/tháng)</t>
        </is>
      </c>
    </row>
    <row r="7">
      <c r="B7" s="13" t="inlineStr">
        <is>
          <t>Gross Margin tổng thể (GM %)</t>
        </is>
      </c>
      <c r="C7" s="16" t="n">
        <v>0.6850000000000001</v>
      </c>
      <c r="D7" s="13" t="inlineStr">
        <is>
          <t>% biên gộp</t>
        </is>
      </c>
      <c r="E7" s="13" t="inlineStr">
        <is>
          <t>Biên lợi nhuận gộp toàn dịch vụ (bao gồm hạ tầng base)</t>
        </is>
      </c>
    </row>
    <row r="8">
      <c r="B8" s="13" t="inlineStr">
        <is>
          <t>Số tháng thu hồi vốn CAC cho phép (Payback Period)</t>
        </is>
      </c>
      <c r="C8" s="15" t="n">
        <v>12</v>
      </c>
      <c r="D8" s="13" t="inlineStr">
        <is>
          <t>tháng</t>
        </is>
      </c>
      <c r="E8" s="13" t="inlineStr">
        <is>
          <t>Chuẩn Bessemer 2024 cho phân khúc SMB (&lt;12 tháng)</t>
        </is>
      </c>
    </row>
    <row r="9">
      <c r="B9" s="13" t="inlineStr">
        <is>
          <t>NGÂN SÁCH CAC TỐI ĐA / KHÁCH HÀNG</t>
        </is>
      </c>
      <c r="C9" s="42">
        <f>C6*C7*C8</f>
        <v/>
      </c>
      <c r="D9" s="13" t="inlineStr">
        <is>
          <t>$ / khách</t>
        </is>
      </c>
      <c r="E9" s="13" t="inlineStr">
        <is>
          <t>Công thức: ARPU * GM * Số tháng payback = $1,224.78</t>
        </is>
      </c>
    </row>
    <row r="10">
      <c r="B10" s="12" t="inlineStr">
        <is>
          <t>2. KIỂM ĐỊNH TÍNH KHẢ THI CỦA INSIDE SALES (TUNGUZ TEST)</t>
        </is>
      </c>
      <c r="C10" s="13" t="n"/>
      <c r="D10" s="13" t="n"/>
      <c r="E10" s="13" t="n"/>
    </row>
    <row r="11">
      <c r="B11" s="13" t="inlineStr">
        <is>
          <t>Giá trị hợp đồng năm (ACV = ARPU × 12)</t>
        </is>
      </c>
      <c r="C11" s="20">
        <f>C6*12</f>
        <v/>
      </c>
      <c r="D11" s="13" t="inlineStr">
        <is>
          <t>$ / năm</t>
        </is>
      </c>
      <c r="E11" s="13" t="inlineStr">
        <is>
          <t>$149 * 12 = $1,788/năm</t>
        </is>
      </c>
    </row>
    <row r="12">
      <c r="B12" s="13" t="inlineStr">
        <is>
          <t>Chỉ tiêu doanh số 1 nhân viên Sales (Quota / năm)</t>
        </is>
      </c>
      <c r="C12" s="43" t="n">
        <v>360000</v>
      </c>
      <c r="D12" s="13" t="inlineStr">
        <is>
          <t>$ / năm</t>
        </is>
      </c>
      <c r="E12" s="13" t="inlineStr">
        <is>
          <t>Chuẩn Inside Sales B2B tech ($300k - $500k/năm)</t>
        </is>
      </c>
    </row>
    <row r="13">
      <c r="B13" s="13" t="inlineStr">
        <is>
          <t>Số deal 1 Sales phải chốt trong năm</t>
        </is>
      </c>
      <c r="C13" s="17">
        <f>C12/C11</f>
        <v/>
      </c>
      <c r="D13" s="13" t="inlineStr">
        <is>
          <t>deals / năm</t>
        </is>
      </c>
      <c r="E13" s="13" t="inlineStr">
        <is>
          <t>Phải chốt 201 deal/năm mới đạt quota</t>
        </is>
      </c>
    </row>
    <row r="14">
      <c r="B14" s="13" t="inlineStr">
        <is>
          <t>Số deal 1 Sales phải chốt MỖI NGÀY LÀM VIỆC</t>
        </is>
      </c>
      <c r="C14" s="44">
        <f>C13/250</f>
        <v/>
      </c>
      <c r="D14" s="13" t="inlineStr">
        <is>
          <t>deals / ngày</t>
        </is>
      </c>
      <c r="E14" s="13" t="inlineStr">
        <is>
          <t>🟥 0.80 deal/ngày (Áp lực phi thực tế với B2B Bán hàng)</t>
        </is>
      </c>
    </row>
    <row r="15">
      <c r="B15" s="13" t="inlineStr">
        <is>
          <t>Chi phí thực tế 1 cơ hội bán hàng (Cost per Opportunity)</t>
        </is>
      </c>
      <c r="C15" s="18" t="n">
        <v>6300</v>
      </c>
      <c r="D15" s="13" t="inlineStr">
        <is>
          <t>$ / opp</t>
        </is>
      </c>
      <c r="E15" s="13" t="inlineStr">
        <is>
          <t>Benchmark ICONIQ 2026 cho phân khúc SMB B2B</t>
        </is>
      </c>
    </row>
    <row r="16">
      <c r="B16" s="13" t="inlineStr">
        <is>
          <t>Tỷ lệ chốt thành công (Win Rate %)</t>
        </is>
      </c>
      <c r="C16" s="16" t="n">
        <v>0.2</v>
      </c>
      <c r="D16" s="13" t="inlineStr">
        <is>
          <t>% win</t>
        </is>
      </c>
      <c r="E16" s="13" t="inlineStr">
        <is>
          <t>Tỷ lệ chuẩn 20% chốt từ demo</t>
        </is>
      </c>
    </row>
    <row r="17">
      <c r="B17" s="13" t="inlineStr">
        <is>
          <t>CAC thực tế ước tính nếu dùng Sales Reps</t>
        </is>
      </c>
      <c r="C17" s="45">
        <f>C15/C16</f>
        <v/>
      </c>
      <c r="D17" s="13" t="inlineStr">
        <is>
          <t>$ / khách</t>
        </is>
      </c>
      <c r="E17" s="13" t="inlineStr">
        <is>
          <t>🟥 CAC thực tế lên tới $31,500/khách!</t>
        </is>
      </c>
    </row>
    <row r="18">
      <c r="B18" s="13" t="inlineStr">
        <is>
          <t>ĐỘ LỆCH GIỮA CAC THỰC TẾ VÀ NGÂN SÁCH CHO PHÉP</t>
        </is>
      </c>
      <c r="C18" s="46">
        <f>C17/C9</f>
        <v/>
      </c>
      <c r="D18" s="13" t="inlineStr">
        <is>
          <t>lần vượt trần</t>
        </is>
      </c>
      <c r="E18" s="13" t="inlineStr">
        <is>
          <t>🟥 Lệch 25.7 lần ➔ Tuyệt đối KHÔNG chạy Sales-Led!</t>
        </is>
      </c>
    </row>
    <row r="19">
      <c r="B19" s="12" t="inlineStr">
        <is>
          <t>3. CHỐT KÊNH GTM DUY NHẤT CHO 90 NGÀY ĐẦU</t>
        </is>
      </c>
      <c r="C19" s="13" t="n"/>
      <c r="D19" s="13" t="n"/>
      <c r="E19" s="13" t="n"/>
    </row>
    <row r="20">
      <c r="B20" s="13" t="inlineStr">
        <is>
          <t>KÊNH PHÂN PHỐI ĐÃ CHỐT</t>
        </is>
      </c>
      <c r="C20" s="39" t="inlineStr">
        <is>
          <t>PLG + GITHUB MARKETPLACE</t>
        </is>
      </c>
      <c r="D20" s="13" t="inlineStr">
        <is>
          <t>Kênh duy nhất</t>
        </is>
      </c>
      <c r="E20" s="13" t="inlineStr">
        <is>
          <t>Product-Led Growth cắm trực tiếp vào GitHub App</t>
        </is>
      </c>
    </row>
    <row r="21">
      <c r="B21" s="13" t="inlineStr">
        <is>
          <t>CAC thực tế của kênh PLG</t>
        </is>
      </c>
      <c r="C21" s="18" t="n">
        <v>180</v>
      </c>
      <c r="D21" s="13" t="inlineStr">
        <is>
          <t>$ / khách</t>
        </is>
      </c>
      <c r="E21" s="13" t="inlineStr">
        <is>
          <t>Chi phí content marketing, docs và listing GitHub</t>
        </is>
      </c>
    </row>
    <row r="22">
      <c r="B22" s="13" t="inlineStr">
        <is>
          <t>Thời gian thu hồi vốn thực tế (Actual Payback)</t>
        </is>
      </c>
      <c r="C22" s="47">
        <f>C21/(C6*C7)</f>
        <v/>
      </c>
      <c r="D22" s="13" t="inlineStr">
        <is>
          <t>tháng</t>
        </is>
      </c>
      <c r="E22" s="13" t="inlineStr">
        <is>
          <t>🟩 Chỉ mất 1.8 tháng để thu hồi CAC (Cực kỳ xuất sắc)</t>
        </is>
      </c>
    </row>
  </sheetData>
  <mergeCells count="3">
    <mergeCell ref="B10:E10"/>
    <mergeCell ref="B19:E19"/>
    <mergeCell ref="B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1" workbookViewId="0">
      <selection activeCell="A1" sqref="A1"/>
    </sheetView>
  </sheetViews>
  <sheetFormatPr baseColWidth="8" defaultRowHeight="15" outlineLevelCol="0"/>
  <cols>
    <col width="5" customWidth="1" min="1" max="1"/>
    <col width="25" customWidth="1" min="2" max="2"/>
    <col width="45" customWidth="1" min="3" max="3"/>
    <col width="25" customWidth="1" min="4" max="4"/>
    <col width="25" customWidth="1" min="5" max="5"/>
  </cols>
  <sheetData>
    <row r="2">
      <c r="B2" s="1" t="inlineStr">
        <is>
          <t>TAB 5: KẾ HOẠCH 90 NGÀY &amp; CHECKLIST EVIDENCE PACK</t>
        </is>
      </c>
    </row>
    <row r="4">
      <c r="B4" s="29" t="inlineStr">
        <is>
          <t>1. PAIN MOMENT ĐỦ 3 YẾU TỐ CHUẨN MỰC</t>
        </is>
      </c>
    </row>
    <row r="5">
      <c r="B5" s="9" t="inlineStr">
        <is>
          <t>MẤY GIỜ?</t>
        </is>
      </c>
      <c r="C5" s="14" t="inlineStr">
        <is>
          <t>23h15 đêm</t>
        </is>
      </c>
      <c r="D5" s="14" t="inlineStr">
        <is>
          <t>Thời điểm dev vừa push code xong trước release</t>
        </is>
      </c>
      <c r="E5" s="13" t="n"/>
    </row>
    <row r="6">
      <c r="B6" s="9" t="inlineStr">
        <is>
          <t>ĐANG LÀM GÌ?</t>
        </is>
      </c>
      <c r="C6" s="14" t="inlineStr">
        <is>
          <t>Tạo Pull Request và chờ Tech Lead review</t>
        </is>
      </c>
      <c r="D6" s="14" t="inlineStr">
        <is>
          <t>Tech Lead đã offline, PR bị nghẽn tắc, pipeline CI/CD treo</t>
        </is>
      </c>
      <c r="E6" s="13" t="n"/>
    </row>
    <row r="7">
      <c r="B7" s="9" t="inlineStr">
        <is>
          <t>DÙNG APP NÀO?</t>
        </is>
      </c>
      <c r="C7" s="14" t="inlineStr">
        <is>
          <t>Giao diện GitHub Pull Request</t>
        </is>
      </c>
      <c r="D7" s="14" t="inlineStr">
        <is>
          <t>Dev đang ngồi tại tab PR của GitHub web</t>
        </is>
      </c>
      <c r="E7" s="13" t="n"/>
    </row>
    <row r="8">
      <c r="B8" s="9" t="inlineStr">
        <is>
          <t>ĐIỂM NHÚNG (SURFACE)</t>
        </is>
      </c>
      <c r="C8" s="14" t="inlineStr">
        <is>
          <t>GitHub App Webhook cắm trực tiếp vào repo</t>
        </is>
      </c>
      <c r="D8" s="14" t="inlineStr">
        <is>
          <t>Zero friction: nhận xét inline ngay tại tab Files Changed</t>
        </is>
      </c>
      <c r="E8" s="13" t="n"/>
    </row>
    <row r="10">
      <c r="B10" s="29" t="inlineStr">
        <is>
          <t>2. KẾ HOẠCH PHÂN PHỐI 90 NGÀY (3 GIAI ĐOẠN)</t>
        </is>
      </c>
    </row>
    <row r="11">
      <c r="B11" s="4" t="inlineStr">
        <is>
          <t>Giai đoạn</t>
        </is>
      </c>
      <c r="C11" s="4" t="inlineStr">
        <is>
          <t>Mục tiêu trọng tâm</t>
        </is>
      </c>
      <c r="D11" s="4" t="inlineStr">
        <is>
          <t>Chỉ số KPI có số</t>
        </is>
      </c>
      <c r="E11" s="4" t="inlineStr">
        <is>
          <t>Người chịu trách nhiệm</t>
        </is>
      </c>
    </row>
    <row r="12">
      <c r="B12" s="40" t="inlineStr">
        <is>
          <t>Tháng 1: Học sâu (Learning)</t>
        </is>
      </c>
      <c r="C12" s="14" t="inlineStr">
        <is>
          <t>Onboard 15 team công nghệ thân thiết (Design Partners), theo dõi trực tiếp từng comment của bot, tối ưu prompt</t>
        </is>
      </c>
      <c r="D12" s="14" t="inlineStr">
        <is>
          <t>15 active repos, độ chính xác review &gt; 90%</t>
        </is>
      </c>
      <c r="E12" s="40" t="inlineStr">
        <is>
          <t>Founder &amp; AI Engineer</t>
        </is>
      </c>
    </row>
    <row r="13">
      <c r="B13" s="40" t="inlineStr">
        <is>
          <t>Tháng 2-3: Đòn bẩy (Leverage)</t>
        </is>
      </c>
      <c r="C13" s="14" t="inlineStr">
        <is>
          <t>Publish chính thức lên GitHub Marketplace, chạy technical blog trên HackerNews/Dev.to, kích hoạt freemium tier</t>
        </is>
      </c>
      <c r="D13" s="14" t="inlineStr">
        <is>
          <t>150 installs, 35 khách hàng trả phí Pro ($149)</t>
        </is>
      </c>
      <c r="E13" s="40" t="inlineStr">
        <is>
          <t>Product Lead &amp; Tech Marketer</t>
        </is>
      </c>
    </row>
    <row r="14">
      <c r="B14" s="40" t="inlineStr">
        <is>
          <t>Tháng 4+: Mở rộng (Expand)</t>
        </is>
      </c>
      <c r="C14" s="14" t="inlineStr">
        <is>
          <t>Hỗ trợ thêm GitLab &amp; Bitbucket Server cho các khách hàng doanh nghiệp tài chính / bảo mật cao</t>
        </is>
      </c>
      <c r="D14" s="14" t="inlineStr">
        <is>
          <t>$15,000 MRR, tỷ lệ churn &lt; 3%/tháng</t>
        </is>
      </c>
      <c r="E14" s="40" t="inlineStr">
        <is>
          <t>Full Engineering Team</t>
        </is>
      </c>
    </row>
    <row r="16">
      <c r="B16" s="29" t="inlineStr">
        <is>
          <t>3. CHECKLIST EVIDENCE PACK CHO PROCUREMENT &amp; IT</t>
        </is>
      </c>
    </row>
    <row r="17">
      <c r="B17" s="4" t="inlineStr">
        <is>
          <t>Tài sản bán hàng</t>
        </is>
      </c>
      <c r="C17" s="4" t="inlineStr">
        <is>
          <t>Trạng thái / Nội dung cụ thể</t>
        </is>
      </c>
      <c r="D17" s="4" t="inlineStr">
        <is>
          <t>Bằng chứng văn bản</t>
        </is>
      </c>
      <c r="E17" s="4" t="inlineStr">
        <is>
          <t>Người phụ trách / Deadline</t>
        </is>
      </c>
    </row>
    <row r="18">
      <c r="B18" s="40" t="inlineStr">
        <is>
          <t>Eval Results</t>
        </is>
      </c>
      <c r="C18" s="14" t="inlineStr">
        <is>
          <t>Đạt độ chính xác 92.4% trên bộ 500 PRs thực tế, false positive 4.8%, thời gian phản hồi 38s</t>
        </is>
      </c>
      <c r="D18" s="14" t="inlineStr">
        <is>
          <t>Báo cáo Eval Benchmark PDF kèm metrics</t>
        </is>
      </c>
      <c r="E18" s="40" t="inlineStr">
        <is>
          <t>AI Engineer (Đã có sẵn)</t>
        </is>
      </c>
    </row>
    <row r="19">
      <c r="B19" s="40" t="inlineStr">
        <is>
          <t>Procurement Q&amp;A</t>
        </is>
      </c>
      <c r="C19" s="14" t="inlineStr">
        <is>
          <t>Cam kết ZDR (Zero Data Retention), không train model trên code khách, xóa bộ nhớ ephemeral sau khi post comment</t>
        </is>
      </c>
      <c r="D19" s="14" t="inlineStr">
        <is>
          <t>Bản cam kết bảo mật &amp; pháp lý 5 trang</t>
        </is>
      </c>
      <c r="E19" s="40" t="inlineStr">
        <is>
          <t>Founder &amp; Legal (30/10/2026)</t>
        </is>
      </c>
    </row>
    <row r="20">
      <c r="B20" s="40" t="inlineStr">
        <is>
          <t>Pilot Report</t>
        </is>
      </c>
      <c r="C20" s="14" t="inlineStr">
        <is>
          <t>Thử nghiệm 4 tuần tại công ty 30 devs: Giảm PR review turnaround time từ 18.4 giờ xuống 42 phút, tiết kiệm 28h/tháng cho Tech Lead</t>
        </is>
      </c>
      <c r="D20" s="14" t="inlineStr">
        <is>
          <t>Pilot Case Study có xác nhận của CTO khách</t>
        </is>
      </c>
      <c r="E20" s="40" t="inlineStr">
        <is>
          <t>Product Lead (Đã hoàn thành)</t>
        </is>
      </c>
    </row>
  </sheetData>
  <mergeCells count="7">
    <mergeCell ref="D8:E8"/>
    <mergeCell ref="D6:E6"/>
    <mergeCell ref="D7:E7"/>
    <mergeCell ref="B4:E4"/>
    <mergeCell ref="D5:E5"/>
    <mergeCell ref="B16:E16"/>
    <mergeCell ref="B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1" workbookViewId="0">
      <selection activeCell="A1" sqref="A1"/>
    </sheetView>
  </sheetViews>
  <sheetFormatPr baseColWidth="8" defaultRowHeight="15" outlineLevelCol="0"/>
  <cols>
    <col width="5" customWidth="1" min="1" max="1"/>
    <col width="25" customWidth="1" min="2" max="2"/>
    <col width="25" customWidth="1" min="3" max="3"/>
    <col width="25" customWidth="1" min="4" max="4"/>
    <col width="45" customWidth="1" min="5" max="5"/>
  </cols>
  <sheetData>
    <row r="2">
      <c r="B2" s="1" t="inlineStr">
        <is>
          <t>TAB 6: BẢNG GIÁ THAM CHIẾU API &amp; SẢN PHẨM NGÀNH (CHỐT 26/08/2026)</t>
        </is>
      </c>
    </row>
    <row r="4">
      <c r="B4" s="4" t="inlineStr">
        <is>
          <t>Nhà cung cấp / Dịch vụ</t>
        </is>
      </c>
      <c r="C4" s="4" t="inlineStr">
        <is>
          <t>Model / Gói cước</t>
        </is>
      </c>
      <c r="D4" s="4" t="inlineStr">
        <is>
          <t>Đơn giá niêm yết (USD)</t>
        </is>
      </c>
      <c r="E4" s="4" t="inlineStr">
        <is>
          <t>Ghi chú &amp; Trạng thái khuyến mại</t>
        </is>
      </c>
    </row>
    <row r="5">
      <c r="B5" s="38" t="inlineStr">
        <is>
          <t>Anthropic</t>
        </is>
      </c>
      <c r="C5" s="48" t="inlineStr">
        <is>
          <t>Claude Haiku 4.5</t>
        </is>
      </c>
      <c r="D5" s="48" t="inlineStr">
        <is>
          <t>$1.00 input / $5.00 output / $0.10 cache read per 1M</t>
        </is>
      </c>
      <c r="E5" s="49" t="inlineStr">
        <is>
          <t>Giá chính thức, cache hit giảm 90% input</t>
        </is>
      </c>
    </row>
    <row r="6">
      <c r="B6" s="38" t="inlineStr">
        <is>
          <t>Anthropic</t>
        </is>
      </c>
      <c r="C6" s="48" t="inlineStr">
        <is>
          <t>Claude Sonnet 3.5</t>
        </is>
      </c>
      <c r="D6" s="48" t="inlineStr">
        <is>
          <t>$3.00 input / $15.00 output / $0.30 cache read per 1M</t>
        </is>
      </c>
      <c r="E6" s="49" t="inlineStr">
        <is>
          <t>Dùng cho các ca phân tích kiến trúc phức tạp</t>
        </is>
      </c>
    </row>
    <row r="7">
      <c r="B7" s="38" t="inlineStr">
        <is>
          <t>OpenAI</t>
        </is>
      </c>
      <c r="C7" s="48" t="inlineStr">
        <is>
          <t>GPT-4o-mini</t>
        </is>
      </c>
      <c r="D7" s="48" t="inlineStr">
        <is>
          <t>$0.15 input / $0.60 output / $0.075 cache read per 1M</t>
        </is>
      </c>
      <c r="E7" s="49" t="inlineStr">
        <is>
          <t>Model siêu rẻ cho tác vụ linting</t>
        </is>
      </c>
    </row>
    <row r="8">
      <c r="B8" s="38" t="inlineStr">
        <is>
          <t>Google Cloud</t>
        </is>
      </c>
      <c r="C8" s="48" t="inlineStr">
        <is>
          <t>Gemini 3.7 Flash</t>
        </is>
      </c>
      <c r="D8" s="48" t="inlineStr">
        <is>
          <t>$0.75 input / $3.75 output per 1M</t>
        </is>
      </c>
      <c r="E8" s="49" t="inlineStr">
        <is>
          <t>⏳ Giá khuyến mại đến 31/12/2026</t>
        </is>
      </c>
    </row>
    <row r="9">
      <c r="B9" s="38" t="inlineStr">
        <is>
          <t>Deepgram</t>
        </is>
      </c>
      <c r="C9" s="48" t="inlineStr">
        <is>
          <t>Nova-3 STT</t>
        </is>
      </c>
      <c r="D9" s="48" t="inlineStr">
        <is>
          <t>$0.0043 / phút (pre-recorded)</t>
        </is>
      </c>
      <c r="E9" s="49" t="inlineStr">
        <is>
          <t>Dịch vụ bóc băng âm thanh</t>
        </is>
      </c>
    </row>
    <row r="10">
      <c r="B10" s="38" t="inlineStr">
        <is>
          <t>ElevenLabs</t>
        </is>
      </c>
      <c r="C10" s="48" t="inlineStr">
        <is>
          <t>Flash / Turbo TTS</t>
        </is>
      </c>
      <c r="D10" s="48" t="inlineStr">
        <is>
          <t>$50 / 1M ký tự</t>
        </is>
      </c>
      <c r="E10" s="49" t="inlineStr">
        <is>
          <t>Dịch vụ đọc văn bản thành giọng nói</t>
        </is>
      </c>
    </row>
    <row r="11">
      <c r="B11" s="38" t="inlineStr">
        <is>
          <t>Intercom</t>
        </is>
      </c>
      <c r="C11" s="48" t="inlineStr">
        <is>
          <t>Fin AI Agent</t>
        </is>
      </c>
      <c r="D11" s="48" t="inlineStr">
        <is>
          <t>$0.99 / resolution</t>
        </is>
      </c>
      <c r="E11" s="49" t="inlineStr">
        <is>
          <t>Benchmark tính tiền theo Outcome chuẩn mực</t>
        </is>
      </c>
    </row>
    <row r="12">
      <c r="B12" s="38" t="inlineStr">
        <is>
          <t>GitHub</t>
        </is>
      </c>
      <c r="C12" s="48" t="inlineStr">
        <is>
          <t>Copilot Business</t>
        </is>
      </c>
      <c r="D12" s="48" t="inlineStr">
        <is>
          <t>$19 / seat / tháng + AI Credits</t>
        </is>
      </c>
      <c r="E12" s="49" t="inlineStr">
        <is>
          <t>Benchmark chuyển đổi từ seat sang usage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2026-10-08T04:18:58Z</dcterms:created>
  <dcterms:modified xmlns:dcterms="http://purl.org/dc/terms/" xmlns:xsi="http://www.w3.org/2001/XMLSchema-instance" xsi:type="dcterms:W3CDTF">2026-10-08T04:18:58Z</dcterms:modified>
</cp:coreProperties>
</file>